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csevillam/workspace/G4WORK/MDSIM1/jobs/"/>
    </mc:Choice>
  </mc:AlternateContent>
  <xr:revisionPtr revIDLastSave="0" documentId="8_{9BE2FBD4-AB70-894C-9A62-FED07A29B57E}" xr6:coauthVersionLast="47" xr6:coauthVersionMax="47" xr10:uidLastSave="{00000000-0000-0000-0000-000000000000}"/>
  <bookViews>
    <workbookView xWindow="23560" yWindow="2080" windowWidth="27640" windowHeight="16940" xr2:uid="{33932F7B-B69A-2E47-9B8E-639BE75433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D8" i="1"/>
  <c r="F8" i="1"/>
  <c r="G8" i="1"/>
  <c r="I8" i="1"/>
  <c r="J8" i="1"/>
  <c r="L8" i="1"/>
  <c r="C9" i="1"/>
  <c r="D9" i="1"/>
  <c r="F9" i="1"/>
  <c r="G9" i="1"/>
  <c r="I9" i="1"/>
  <c r="J9" i="1"/>
  <c r="L9" i="1"/>
  <c r="C10" i="1"/>
  <c r="D10" i="1"/>
  <c r="F10" i="1"/>
  <c r="G10" i="1"/>
  <c r="I10" i="1"/>
  <c r="J10" i="1"/>
  <c r="L10" i="1"/>
  <c r="C11" i="1"/>
  <c r="D11" i="1"/>
  <c r="F11" i="1"/>
  <c r="G11" i="1"/>
  <c r="I11" i="1"/>
  <c r="J11" i="1"/>
  <c r="L11" i="1"/>
  <c r="C12" i="1"/>
  <c r="D12" i="1"/>
  <c r="F12" i="1"/>
  <c r="G12" i="1"/>
  <c r="I12" i="1"/>
  <c r="J12" i="1"/>
  <c r="L12" i="1"/>
  <c r="C13" i="1"/>
  <c r="D13" i="1"/>
  <c r="F13" i="1"/>
  <c r="G13" i="1"/>
  <c r="I13" i="1"/>
  <c r="J13" i="1"/>
  <c r="L13" i="1"/>
  <c r="C14" i="1"/>
  <c r="D14" i="1"/>
  <c r="F14" i="1"/>
  <c r="G14" i="1"/>
  <c r="I14" i="1"/>
  <c r="J14" i="1"/>
  <c r="L14" i="1"/>
  <c r="L6" i="1"/>
  <c r="L7" i="1"/>
  <c r="J6" i="1"/>
  <c r="J7" i="1"/>
  <c r="L5" i="1"/>
  <c r="J5" i="1"/>
  <c r="I6" i="1"/>
  <c r="I7" i="1"/>
  <c r="I5" i="1"/>
  <c r="G6" i="1"/>
  <c r="G7" i="1"/>
  <c r="G5" i="1"/>
  <c r="F6" i="1"/>
  <c r="F7" i="1"/>
  <c r="F5" i="1"/>
  <c r="D5" i="1"/>
  <c r="D7" i="1"/>
  <c r="D6" i="1"/>
  <c r="C6" i="1"/>
  <c r="C7" i="1"/>
  <c r="C5" i="1"/>
</calcChain>
</file>

<file path=xl/sharedStrings.xml><?xml version="1.0" encoding="utf-8"?>
<sst xmlns="http://schemas.openxmlformats.org/spreadsheetml/2006/main" count="14" uniqueCount="8">
  <si>
    <t>GantryAngles</t>
  </si>
  <si>
    <t>GantryAnglesDummy</t>
  </si>
  <si>
    <t>BeamCentres</t>
  </si>
  <si>
    <t>x</t>
  </si>
  <si>
    <t>y</t>
  </si>
  <si>
    <t>z</t>
  </si>
  <si>
    <t>BeamRots1</t>
  </si>
  <si>
    <t>BeamDirections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</si>
</sst>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386FD-3D29-E042-AD38-CA0731857FA7}">
  <dimension ref="B3:L14"/>
  <sheetViews>
    <sheetView tabSelected="1" workbookViewId="0">
      <selection activeCell="L13" sqref="J13:L13"/>
    </sheetView>
  </sheetViews>
  <sheetFormatPr baseColWidth="10" defaultRowHeight="16" x14ac:dyDescent="0.2"/>
  <cols>
    <col min="2" max="2" width="13.6640625" customWidth="1"/>
    <col min="3" max="3" width="18.83203125" customWidth="1"/>
    <col min="4" max="4" width="16.6640625" customWidth="1"/>
    <col min="5" max="6" width="11.6640625" bestFit="1" customWidth="1"/>
    <col min="7" max="7" width="12.1640625" bestFit="1" customWidth="1"/>
  </cols>
  <sheetData>
    <row r="3" spans="2:12" x14ac:dyDescent="0.2">
      <c r="B3" t="s">
        <v>0</v>
      </c>
      <c r="C3" t="s">
        <v>1</v>
      </c>
      <c r="D3" s="2" t="s">
        <v>2</v>
      </c>
      <c r="E3" s="2"/>
      <c r="F3" s="2"/>
      <c r="G3" s="2" t="s">
        <v>6</v>
      </c>
      <c r="H3" s="2"/>
      <c r="I3" s="2"/>
      <c r="J3" s="2" t="s">
        <v>7</v>
      </c>
      <c r="K3" s="2"/>
      <c r="L3" s="2"/>
    </row>
    <row r="4" spans="2:12" x14ac:dyDescent="0.2">
      <c r="D4" s="1" t="s">
        <v>3</v>
      </c>
      <c r="E4" s="1" t="s">
        <v>4</v>
      </c>
      <c r="F4" s="1" t="s">
        <v>5</v>
      </c>
      <c r="G4" s="1" t="s">
        <v>3</v>
      </c>
      <c r="H4" s="1" t="s">
        <v>4</v>
      </c>
      <c r="I4" s="1" t="s">
        <v>5</v>
      </c>
      <c r="J4" s="1" t="s">
        <v>3</v>
      </c>
      <c r="K4" s="1" t="s">
        <v>4</v>
      </c>
      <c r="L4" s="1" t="s">
        <v>5</v>
      </c>
    </row>
    <row r="5" spans="2:12" x14ac:dyDescent="0.2">
      <c r="B5">
        <v>0</v>
      </c>
      <c r="C5">
        <f>B5+90</f>
        <v>90</v>
      </c>
      <c r="D5" s="3">
        <f>SIN(RADIANS(B5))*100</f>
        <v>0</v>
      </c>
      <c r="E5" s="3">
        <v>0</v>
      </c>
      <c r="F5" s="3">
        <f>COS(RADIANS(B5))*100</f>
        <v>100</v>
      </c>
      <c r="G5" s="3">
        <f>SIN(RADIANS(B5+90))</f>
        <v>1</v>
      </c>
      <c r="H5" s="3">
        <v>0</v>
      </c>
      <c r="I5" s="3">
        <f>COS(RADIANS(B5+90))</f>
        <v>6.123233995736766E-17</v>
      </c>
      <c r="J5" s="3">
        <f>SIN(RADIANS(B5+180))</f>
        <v>1.2246467991473532E-16</v>
      </c>
      <c r="K5" s="3">
        <v>0</v>
      </c>
      <c r="L5" s="3">
        <f>COS(RADIANS(B5+180))</f>
        <v>-1</v>
      </c>
    </row>
    <row r="6" spans="2:12" x14ac:dyDescent="0.2">
      <c r="B6">
        <v>10</v>
      </c>
      <c r="C6">
        <f t="shared" ref="C6:C14" si="0">B6+90</f>
        <v>100</v>
      </c>
      <c r="D6" s="3">
        <f>SIN(RADIANS(B6))*100</f>
        <v>17.364817766693033</v>
      </c>
      <c r="E6" s="3">
        <v>0</v>
      </c>
      <c r="F6" s="3">
        <f t="shared" ref="F6:F8" si="1">COS(RADIANS(B6))*100</f>
        <v>98.480775301220802</v>
      </c>
      <c r="G6" s="3">
        <f t="shared" ref="G6:G8" si="2">SIN(RADIANS(B6+90))</f>
        <v>0.98480775301220802</v>
      </c>
      <c r="H6" s="3">
        <v>0</v>
      </c>
      <c r="I6" s="3">
        <f t="shared" ref="I6:I8" si="3">COS(RADIANS(B6+90))</f>
        <v>-0.1736481776669303</v>
      </c>
      <c r="J6" s="3">
        <f t="shared" ref="J6:J8" si="4">SIN(RADIANS(B6+180))</f>
        <v>-0.17364817766693047</v>
      </c>
      <c r="K6" s="3">
        <v>0</v>
      </c>
      <c r="L6" s="3">
        <f t="shared" ref="L6:L8" si="5">COS(RADIANS(B6+180))</f>
        <v>-0.98480775301220802</v>
      </c>
    </row>
    <row r="7" spans="2:12" x14ac:dyDescent="0.2">
      <c r="B7">
        <v>20</v>
      </c>
      <c r="C7">
        <f t="shared" si="0"/>
        <v>110</v>
      </c>
      <c r="D7" s="3">
        <f>SIN(RADIANS(B7))*100</f>
        <v>34.202014332566868</v>
      </c>
      <c r="E7" s="3">
        <v>0</v>
      </c>
      <c r="F7" s="3">
        <f t="shared" si="1"/>
        <v>93.969262078590845</v>
      </c>
      <c r="G7" s="3">
        <f t="shared" si="2"/>
        <v>0.93969262078590843</v>
      </c>
      <c r="H7" s="3">
        <v>0</v>
      </c>
      <c r="I7" s="3">
        <f t="shared" si="3"/>
        <v>-0.34202014332566871</v>
      </c>
      <c r="J7" s="3">
        <f t="shared" si="4"/>
        <v>-0.34202014332566866</v>
      </c>
      <c r="K7" s="3">
        <v>0</v>
      </c>
      <c r="L7" s="3">
        <f t="shared" si="5"/>
        <v>-0.93969262078590843</v>
      </c>
    </row>
    <row r="8" spans="2:12" x14ac:dyDescent="0.2">
      <c r="B8">
        <v>30</v>
      </c>
      <c r="C8">
        <f t="shared" si="0"/>
        <v>120</v>
      </c>
      <c r="D8" s="3">
        <f t="shared" ref="D8:D14" si="6">SIN(RADIANS(B8))*100</f>
        <v>49.999999999999993</v>
      </c>
      <c r="E8" s="3">
        <v>0</v>
      </c>
      <c r="F8" s="3">
        <f t="shared" si="1"/>
        <v>86.602540378443877</v>
      </c>
      <c r="G8" s="3">
        <f t="shared" si="2"/>
        <v>0.86602540378443871</v>
      </c>
      <c r="H8" s="3">
        <v>0</v>
      </c>
      <c r="I8" s="3">
        <f t="shared" si="3"/>
        <v>-0.49999999999999983</v>
      </c>
      <c r="J8" s="3">
        <f t="shared" si="4"/>
        <v>-0.50000000000000011</v>
      </c>
      <c r="K8" s="3">
        <v>0</v>
      </c>
      <c r="L8" s="3">
        <f t="shared" si="5"/>
        <v>-0.8660254037844386</v>
      </c>
    </row>
    <row r="9" spans="2:12" x14ac:dyDescent="0.2">
      <c r="B9">
        <v>40</v>
      </c>
      <c r="C9">
        <f t="shared" si="0"/>
        <v>130</v>
      </c>
      <c r="D9" s="3">
        <f t="shared" si="6"/>
        <v>64.278760968653927</v>
      </c>
      <c r="E9" s="3">
        <v>0</v>
      </c>
      <c r="F9" s="3">
        <f t="shared" ref="F9:F14" si="7">COS(RADIANS(B9))*100</f>
        <v>76.604444311897808</v>
      </c>
      <c r="G9" s="3">
        <f t="shared" ref="G9:G14" si="8">SIN(RADIANS(B9+90))</f>
        <v>0.76604444311897801</v>
      </c>
      <c r="H9" s="3">
        <v>0</v>
      </c>
      <c r="I9" s="3">
        <f t="shared" ref="I9:I14" si="9">COS(RADIANS(B9+90))</f>
        <v>-0.64278760968653936</v>
      </c>
      <c r="J9" s="3">
        <f t="shared" ref="J9:J14" si="10">SIN(RADIANS(B9+180))</f>
        <v>-0.64278760968653925</v>
      </c>
      <c r="K9" s="3">
        <v>0</v>
      </c>
      <c r="L9" s="3">
        <f t="shared" ref="L9:L14" si="11">COS(RADIANS(B9+180))</f>
        <v>-0.76604444311897801</v>
      </c>
    </row>
    <row r="10" spans="2:12" x14ac:dyDescent="0.2">
      <c r="B10">
        <v>50</v>
      </c>
      <c r="C10">
        <f t="shared" si="0"/>
        <v>140</v>
      </c>
      <c r="D10" s="3">
        <f t="shared" si="6"/>
        <v>76.604444311897808</v>
      </c>
      <c r="E10" s="3">
        <v>0</v>
      </c>
      <c r="F10" s="3">
        <f t="shared" si="7"/>
        <v>64.278760968653941</v>
      </c>
      <c r="G10" s="3">
        <f t="shared" si="8"/>
        <v>0.64278760968653947</v>
      </c>
      <c r="H10" s="3">
        <v>0</v>
      </c>
      <c r="I10" s="3">
        <f t="shared" si="9"/>
        <v>-0.7660444431189779</v>
      </c>
      <c r="J10" s="3">
        <f t="shared" si="10"/>
        <v>-0.7660444431189779</v>
      </c>
      <c r="K10" s="3">
        <v>0</v>
      </c>
      <c r="L10" s="3">
        <f t="shared" si="11"/>
        <v>-0.64278760968653947</v>
      </c>
    </row>
    <row r="11" spans="2:12" x14ac:dyDescent="0.2">
      <c r="B11">
        <v>60</v>
      </c>
      <c r="C11">
        <f t="shared" si="0"/>
        <v>150</v>
      </c>
      <c r="D11" s="3">
        <f t="shared" si="6"/>
        <v>86.602540378443862</v>
      </c>
      <c r="E11" s="3">
        <v>0</v>
      </c>
      <c r="F11" s="3">
        <f t="shared" si="7"/>
        <v>50.000000000000014</v>
      </c>
      <c r="G11" s="3">
        <f t="shared" si="8"/>
        <v>0.49999999999999994</v>
      </c>
      <c r="H11" s="3">
        <v>0</v>
      </c>
      <c r="I11" s="3">
        <f t="shared" si="9"/>
        <v>-0.86602540378443871</v>
      </c>
      <c r="J11" s="3">
        <f t="shared" si="10"/>
        <v>-0.86602540378443837</v>
      </c>
      <c r="K11" s="3">
        <v>0</v>
      </c>
      <c r="L11" s="3">
        <f t="shared" si="11"/>
        <v>-0.50000000000000044</v>
      </c>
    </row>
    <row r="12" spans="2:12" x14ac:dyDescent="0.2">
      <c r="B12">
        <v>70</v>
      </c>
      <c r="C12">
        <f t="shared" si="0"/>
        <v>160</v>
      </c>
      <c r="D12" s="3">
        <f t="shared" si="6"/>
        <v>93.96926207859083</v>
      </c>
      <c r="E12" s="3">
        <v>0</v>
      </c>
      <c r="F12" s="3">
        <f t="shared" si="7"/>
        <v>34.202014332566883</v>
      </c>
      <c r="G12" s="3">
        <f t="shared" si="8"/>
        <v>0.34202014332566888</v>
      </c>
      <c r="H12" s="3">
        <v>0</v>
      </c>
      <c r="I12" s="3">
        <f t="shared" si="9"/>
        <v>-0.93969262078590832</v>
      </c>
      <c r="J12" s="3">
        <f t="shared" si="10"/>
        <v>-0.93969262078590843</v>
      </c>
      <c r="K12" s="3">
        <v>0</v>
      </c>
      <c r="L12" s="3">
        <f t="shared" si="11"/>
        <v>-0.34202014332566855</v>
      </c>
    </row>
    <row r="13" spans="2:12" x14ac:dyDescent="0.2">
      <c r="B13">
        <v>80</v>
      </c>
      <c r="C13">
        <f t="shared" si="0"/>
        <v>170</v>
      </c>
      <c r="D13" s="3">
        <f t="shared" si="6"/>
        <v>98.480775301220802</v>
      </c>
      <c r="E13" s="3">
        <v>0</v>
      </c>
      <c r="F13" s="3">
        <f t="shared" si="7"/>
        <v>17.36481776669304</v>
      </c>
      <c r="G13" s="3">
        <f t="shared" si="8"/>
        <v>0.17364817766693028</v>
      </c>
      <c r="H13" s="3">
        <v>0</v>
      </c>
      <c r="I13" s="3">
        <f t="shared" si="9"/>
        <v>-0.98480775301220802</v>
      </c>
      <c r="J13" s="3">
        <f t="shared" si="10"/>
        <v>-0.98480775301220802</v>
      </c>
      <c r="K13" s="3">
        <v>0</v>
      </c>
      <c r="L13" s="3">
        <f t="shared" si="11"/>
        <v>-0.17364817766693033</v>
      </c>
    </row>
    <row r="14" spans="2:12" x14ac:dyDescent="0.2">
      <c r="B14">
        <v>90</v>
      </c>
      <c r="C14">
        <f t="shared" si="0"/>
        <v>180</v>
      </c>
      <c r="D14" s="3">
        <f t="shared" si="6"/>
        <v>100</v>
      </c>
      <c r="E14" s="3">
        <v>0</v>
      </c>
      <c r="F14" s="3">
        <f t="shared" si="7"/>
        <v>6.1232339957367661E-15</v>
      </c>
      <c r="G14" s="3">
        <f t="shared" si="8"/>
        <v>1.2246467991473532E-16</v>
      </c>
      <c r="H14" s="3">
        <v>0</v>
      </c>
      <c r="I14" s="3">
        <f t="shared" si="9"/>
        <v>-1</v>
      </c>
      <c r="J14" s="3">
        <f t="shared" si="10"/>
        <v>-1</v>
      </c>
      <c r="K14" s="3">
        <v>0</v>
      </c>
      <c r="L14" s="3">
        <f t="shared" si="11"/>
        <v>-1.8369701987210297E-16</v>
      </c>
    </row>
  </sheetData>
  <mergeCells count="3">
    <mergeCell ref="D3:F3"/>
    <mergeCell ref="G3:I3"/>
    <mergeCell ref="J3:L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Camilo Sevilla Moreno</dc:creator>
  <cp:lastModifiedBy>Andres Camilo Sevilla Moreno</cp:lastModifiedBy>
  <dcterms:created xsi:type="dcterms:W3CDTF">2025-01-13T20:47:58Z</dcterms:created>
  <dcterms:modified xsi:type="dcterms:W3CDTF">2025-01-13T21:46:06Z</dcterms:modified>
</cp:coreProperties>
</file>